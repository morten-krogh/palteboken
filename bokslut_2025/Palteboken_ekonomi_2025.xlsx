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lans" sheetId="1" r:id="rId5"/>
    <sheet name="Result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<sst xmlns="http://schemas.openxmlformats.org/spreadsheetml/2006/main" uniqueCount="49">
  <si>
    <t>Balansräkning</t>
  </si>
  <si>
    <t>Tilgångar</t>
  </si>
  <si>
    <t>Obetalt avgift</t>
  </si>
  <si>
    <t>Kassa och Bank</t>
  </si>
  <si>
    <t>Summa tillgångar</t>
  </si>
  <si>
    <t>Eget kapital och skulder</t>
  </si>
  <si>
    <t>Eget kapital</t>
  </si>
  <si>
    <t>Bundet eget kapital</t>
  </si>
  <si>
    <t>Underhållsfond</t>
  </si>
  <si>
    <t>Summa bundet eget kapital</t>
  </si>
  <si>
    <t>Fritt eget kapital</t>
  </si>
  <si>
    <t>Balanserat resultat</t>
  </si>
  <si>
    <t>Årets resultat</t>
  </si>
  <si>
    <t>Summa fritt eget kapital</t>
  </si>
  <si>
    <t>Summa eget kapital och skulder</t>
  </si>
  <si>
    <t>Paltebokens Samfällighet</t>
  </si>
  <si>
    <t>Budget &amp; Utfall</t>
  </si>
  <si>
    <t>Konto</t>
  </si>
  <si>
    <t>År 2025</t>
  </si>
  <si>
    <t>Utfall</t>
  </si>
  <si>
    <t>År 2026</t>
  </si>
  <si>
    <t>Budget</t>
  </si>
  <si>
    <t>Kommentar</t>
  </si>
  <si>
    <t>Försäkringar med styrelseansvar</t>
  </si>
  <si>
    <t>Föreningsavgifter (bankgiroavgift)</t>
  </si>
  <si>
    <t>Kabel TV/Internet</t>
  </si>
  <si>
    <t>Skötsel gator/vägar/gångar/grönomr.</t>
  </si>
  <si>
    <t>Skötsel Snöröjning</t>
  </si>
  <si>
    <t>Renhållning/grovsopor (kompost)</t>
  </si>
  <si>
    <t>Gatubelysning mm</t>
  </si>
  <si>
    <t>Självrisker, oförutsett</t>
  </si>
  <si>
    <t>Övriga driftskostnader, besikting etc.</t>
  </si>
  <si>
    <t>Gem. Anläggn/Vägförening</t>
  </si>
  <si>
    <t>Telefonkostnader</t>
  </si>
  <si>
    <t>Administration</t>
  </si>
  <si>
    <t>Styrelse och revisorarvoden</t>
  </si>
  <si>
    <t>Reseersättningar</t>
  </si>
  <si>
    <t>Övriga förvaltningskostnader</t>
  </si>
  <si>
    <t>Div.arvoden/ersättingar</t>
  </si>
  <si>
    <t>Kapitalkostnader</t>
  </si>
  <si>
    <t>Avsättning fond för underhåll o förnyelse</t>
  </si>
  <si>
    <t>Öres- och kronutjämning</t>
  </si>
  <si>
    <t>Summa utgifter:</t>
  </si>
  <si>
    <t>Överskott:</t>
  </si>
  <si>
    <t>Kräver årsavgift:</t>
  </si>
  <si>
    <t>Årsavgift:</t>
  </si>
  <si>
    <t>Obetalde årsavgifter</t>
  </si>
  <si>
    <t>Saldo Bankkonto 2023-01-01</t>
  </si>
  <si>
    <t>Saldo Bankkonto 2024-01-01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</si>
</sst>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mm/dd/yy"/>
    <numFmt numFmtId="60" formatCode="#,##0&quot; kr&quot;"/>
    <numFmt numFmtId="61" formatCode="#,##0.00&quot; kr&quot;"/>
  </numFmts>
  <fonts count="9">
    <font>
      <sz val="11"/>
      <color indexed="8"/>
      <name val="Arial"/>
    </font>
    <font>
      <sz val="15"/>
      <color indexed="8"/>
      <name val="Calibri"/>
    </font>
    <font>
      <sz val="12"/>
      <color indexed="8"/>
      <name val="Calibri"/>
    </font>
    <font>
      <sz val="12"/>
      <color indexed="8"/>
      <name val="Helvetica Neue"/>
    </font>
    <font>
      <b val="1"/>
      <sz val="12"/>
      <color indexed="8"/>
      <name val="Arial"/>
    </font>
    <font>
      <b val="1"/>
      <i val="1"/>
      <sz val="10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7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60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61" fontId="0" fillId="2" borderId="3" applyNumberFormat="1" applyFont="1" applyFill="1" applyBorder="1" applyAlignment="1" applyProtection="0">
      <alignment vertical="bottom"/>
    </xf>
    <xf numFmtId="0" fontId="7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right" vertical="bottom"/>
    </xf>
    <xf numFmtId="60" fontId="6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7" fillId="2" borderId="1" applyNumberFormat="0" applyFont="1" applyFill="1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vertical="bottom"/>
    </xf>
    <xf numFmtId="0" fontId="8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7"/>
  <sheetViews>
    <sheetView workbookViewId="0" showGridLines="0" defaultGridColor="1"/>
  </sheetViews>
  <sheetFormatPr defaultColWidth="8.83333" defaultRowHeight="14.25" customHeight="1" outlineLevelRow="0" outlineLevelCol="0"/>
  <cols>
    <col min="1" max="1" width="22.5" style="1" customWidth="1"/>
    <col min="2" max="10" width="10.8516" style="1" customWidth="1"/>
    <col min="11" max="16384" width="8.85156" style="1" customWidth="1"/>
  </cols>
  <sheetData>
    <row r="1" ht="15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</row>
    <row r="2" ht="14.6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4.6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4.6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4.6" customHeight="1">
      <c r="A5" t="s" s="4">
        <v>1</v>
      </c>
      <c r="B5" s="5">
        <v>43100</v>
      </c>
      <c r="C5" s="5">
        <v>43465</v>
      </c>
      <c r="D5" s="5">
        <v>43830</v>
      </c>
      <c r="E5" s="5">
        <v>44196</v>
      </c>
      <c r="F5" s="5">
        <v>44561</v>
      </c>
      <c r="G5" s="5">
        <v>44926</v>
      </c>
      <c r="H5" s="5">
        <v>45291</v>
      </c>
      <c r="I5" s="5">
        <v>45657</v>
      </c>
      <c r="J5" s="5">
        <v>46022</v>
      </c>
    </row>
    <row r="6" ht="14.6" customHeight="1">
      <c r="A6" s="3"/>
      <c r="B6" s="5"/>
      <c r="C6" s="3"/>
      <c r="D6" s="3"/>
      <c r="E6" s="3"/>
      <c r="F6" s="3"/>
      <c r="G6" s="3"/>
      <c r="H6" s="3"/>
      <c r="I6" s="3"/>
      <c r="J6" s="3"/>
    </row>
    <row r="7" ht="14.6" customHeight="1">
      <c r="A7" t="s" s="4">
        <v>2</v>
      </c>
      <c r="B7" s="6">
        <v>20000</v>
      </c>
      <c r="C7" s="6">
        <v>18000</v>
      </c>
      <c r="D7" s="6">
        <v>24500</v>
      </c>
      <c r="E7" s="6">
        <v>0</v>
      </c>
      <c r="F7" s="6">
        <v>10500</v>
      </c>
      <c r="G7" s="6">
        <v>10500</v>
      </c>
      <c r="H7" s="6">
        <v>17500</v>
      </c>
      <c r="I7" s="6">
        <v>0</v>
      </c>
      <c r="J7" s="6">
        <v>12000</v>
      </c>
    </row>
    <row r="8" ht="14.6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4.6" customHeight="1">
      <c r="A9" t="s" s="4">
        <v>3</v>
      </c>
      <c r="B9" s="6">
        <v>87980</v>
      </c>
      <c r="C9" s="6">
        <v>91570</v>
      </c>
      <c r="D9" s="6">
        <v>86837</v>
      </c>
      <c r="E9" s="6">
        <v>114070</v>
      </c>
      <c r="F9" s="6">
        <v>95984</v>
      </c>
      <c r="G9" s="6">
        <v>83255</v>
      </c>
      <c r="H9" s="6">
        <v>63975</v>
      </c>
      <c r="I9" s="6">
        <v>64395</v>
      </c>
      <c r="J9" s="6">
        <v>38345</v>
      </c>
    </row>
    <row r="10" ht="14.6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4.6" customHeight="1">
      <c r="A11" t="s" s="4">
        <v>4</v>
      </c>
      <c r="B11" s="6" cm="1">
        <f t="array" ref="B11">B7+B9</f>
        <v>107980</v>
      </c>
      <c r="C11" s="6" cm="1">
        <f t="array" ref="C11">C7+C9</f>
        <v>109570</v>
      </c>
      <c r="D11" s="6" cm="1">
        <f t="array" ref="D11">D7+D9</f>
        <v>111337</v>
      </c>
      <c r="E11" s="6">
        <v>114070</v>
      </c>
      <c r="F11" s="6" cm="1">
        <f t="array" ref="F11">F7+F9</f>
        <v>106484</v>
      </c>
      <c r="G11" s="6" cm="1">
        <f t="array" ref="G11">G7+G9</f>
        <v>93755</v>
      </c>
      <c r="H11" s="6" cm="1">
        <f t="array" ref="H11">H7+H9</f>
        <v>81475</v>
      </c>
      <c r="I11" s="6" cm="1">
        <f t="array" ref="I11">I7+I9</f>
        <v>64395</v>
      </c>
      <c r="J11" s="6" cm="1">
        <f t="array" ref="J11">J7+J9</f>
        <v>50345</v>
      </c>
    </row>
    <row r="12" ht="14.6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4.6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4.6" customHeight="1">
      <c r="A14" t="s" s="4">
        <v>5</v>
      </c>
      <c r="B14" s="5">
        <v>43100</v>
      </c>
      <c r="C14" s="5">
        <v>43465</v>
      </c>
      <c r="D14" s="5">
        <v>43830</v>
      </c>
      <c r="E14" s="5">
        <v>44196</v>
      </c>
      <c r="F14" s="5">
        <v>44561</v>
      </c>
      <c r="G14" s="5">
        <v>44926</v>
      </c>
      <c r="H14" s="5">
        <v>45291</v>
      </c>
      <c r="I14" s="5">
        <v>45657</v>
      </c>
      <c r="J14" s="5">
        <v>46022</v>
      </c>
    </row>
    <row r="15" ht="14.6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4.6" customHeight="1">
      <c r="A16" t="s" s="4">
        <v>6</v>
      </c>
      <c r="B16" s="3"/>
      <c r="C16" s="3"/>
      <c r="D16" s="3"/>
      <c r="E16" s="3"/>
      <c r="F16" s="3"/>
      <c r="G16" s="3"/>
      <c r="H16" s="3"/>
      <c r="I16" s="3"/>
      <c r="J16" s="3"/>
    </row>
    <row r="17" ht="14.6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4.6" customHeight="1">
      <c r="A18" t="s" s="4">
        <v>7</v>
      </c>
      <c r="B18" s="3"/>
      <c r="C18" s="3"/>
      <c r="D18" s="3"/>
      <c r="E18" s="3"/>
      <c r="F18" s="3"/>
      <c r="G18" s="3"/>
      <c r="H18" s="3"/>
      <c r="I18" s="3"/>
      <c r="J18" s="3"/>
    </row>
    <row r="19" ht="14.6" customHeight="1">
      <c r="A19" t="s" s="4">
        <v>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</row>
    <row r="20" ht="14.6" customHeight="1">
      <c r="A20" t="s" s="4">
        <v>9</v>
      </c>
      <c r="B20" s="6" cm="1">
        <f t="array" ref="B20">B19</f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ht="14.6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4.6" customHeight="1">
      <c r="A22" t="s" s="4">
        <v>10</v>
      </c>
      <c r="B22" s="3"/>
      <c r="C22" s="3"/>
      <c r="D22" s="3"/>
      <c r="E22" s="3"/>
      <c r="F22" s="3"/>
      <c r="G22" s="3"/>
      <c r="H22" s="3"/>
      <c r="I22" s="3"/>
      <c r="J22" s="3"/>
    </row>
    <row r="23" ht="14.6" customHeight="1">
      <c r="A23" t="s" s="4">
        <v>11</v>
      </c>
      <c r="B23" s="6">
        <v>65148</v>
      </c>
      <c r="C23" s="6">
        <v>107980</v>
      </c>
      <c r="D23" s="6">
        <v>109570</v>
      </c>
      <c r="E23" s="6">
        <v>111337</v>
      </c>
      <c r="F23" s="6" cm="1">
        <f t="array" ref="F23">E25</f>
        <v>114070</v>
      </c>
      <c r="G23" s="6">
        <v>106484</v>
      </c>
      <c r="H23" s="6">
        <v>93755</v>
      </c>
      <c r="I23" s="6">
        <v>81475</v>
      </c>
      <c r="J23" s="6">
        <v>64393</v>
      </c>
    </row>
    <row r="24" ht="14.6" customHeight="1">
      <c r="A24" t="s" s="4">
        <v>12</v>
      </c>
      <c r="B24" s="6">
        <v>42832</v>
      </c>
      <c r="C24" s="6">
        <v>1590</v>
      </c>
      <c r="D24" s="6">
        <v>1767</v>
      </c>
      <c r="E24" s="6">
        <v>2733</v>
      </c>
      <c r="F24" s="6">
        <v>-7586</v>
      </c>
      <c r="G24" s="6">
        <v>-12729</v>
      </c>
      <c r="H24" s="6">
        <v>-12280</v>
      </c>
      <c r="I24" s="6">
        <v>-17082</v>
      </c>
      <c r="J24" s="6">
        <v>-14049</v>
      </c>
    </row>
    <row r="25" ht="14.6" customHeight="1">
      <c r="A25" t="s" s="4">
        <v>13</v>
      </c>
      <c r="B25" s="6" cm="1">
        <f t="array" ref="B25">B23+B24</f>
        <v>107980</v>
      </c>
      <c r="C25" s="6" cm="1">
        <f t="array" ref="C25">C23+C24</f>
        <v>109570</v>
      </c>
      <c r="D25" s="6" cm="1">
        <f t="array" ref="D25">D23+D24</f>
        <v>111337</v>
      </c>
      <c r="E25" s="6" cm="1">
        <f t="array" ref="E25">E23+E24</f>
        <v>114070</v>
      </c>
      <c r="F25" s="6" cm="1">
        <f t="array" ref="F25">F23+F24</f>
        <v>106484</v>
      </c>
      <c r="G25" s="6" cm="1">
        <f t="array" ref="G25">G23+G24</f>
        <v>93755</v>
      </c>
      <c r="H25" s="6" cm="1">
        <f t="array" ref="H25">H23+H24</f>
        <v>81475</v>
      </c>
      <c r="I25" s="6" cm="1">
        <f t="array" ref="I25">I23+I24</f>
        <v>64393</v>
      </c>
      <c r="J25" s="6" cm="1">
        <f t="array" ref="J25">J23+J24</f>
        <v>50344</v>
      </c>
    </row>
    <row r="26" ht="14.6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4.6" customHeight="1">
      <c r="A27" t="s" s="4">
        <v>14</v>
      </c>
      <c r="B27" s="6" cm="1">
        <f t="array" ref="B27">B20+B25</f>
        <v>107980</v>
      </c>
      <c r="C27" s="6" cm="1">
        <f t="array" ref="C27">C20+C25</f>
        <v>109570</v>
      </c>
      <c r="D27" s="6" cm="1">
        <f t="array" ref="D27">D20+D25</f>
        <v>111337</v>
      </c>
      <c r="E27" s="6" cm="1">
        <f t="array" ref="E27">E20+E25</f>
        <v>114070</v>
      </c>
      <c r="F27" s="6" cm="1">
        <f t="array" ref="F27">F20+F25</f>
        <v>106484</v>
      </c>
      <c r="G27" s="6" cm="1">
        <f t="array" ref="G27">G20+G25</f>
        <v>93755</v>
      </c>
      <c r="H27" s="6" cm="1">
        <f t="array" ref="H27">H20+H25</f>
        <v>81475</v>
      </c>
      <c r="I27" s="6" cm="1">
        <f t="array" ref="I27">I20+I25</f>
        <v>64393</v>
      </c>
      <c r="J27" s="6" cm="1">
        <f t="array" ref="J27">J20+J25</f>
        <v>50344</v>
      </c>
    </row>
  </sheetData>
  <pageMargins left="0" right="0" top="0.3941" bottom="0.3941" header="0" footer="0"/>
  <pageSetup firstPageNumber="1" fitToHeight="1" fitToWidth="1" scale="100" useFirstPageNumber="0" orientation="portrait" pageOrder="overThenDown"/>
  <headerFooter>
    <oddHeader>&amp;C&amp;"Arial,Regular"&amp;11&amp;K000000Balans 2020</oddHeader>
    <oddFooter>&amp;C&amp;"Arial,Regular"&amp;11&amp;K000000Page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35"/>
  <sheetViews>
    <sheetView workbookViewId="0" showGridLines="0" defaultGridColor="1"/>
  </sheetViews>
  <sheetFormatPr defaultColWidth="8.83333" defaultRowHeight="14.45" customHeight="1" outlineLevelRow="0" outlineLevelCol="0"/>
  <cols>
    <col min="1" max="1" width="9.85156" style="7" customWidth="1"/>
    <col min="2" max="2" width="40.3516" style="7" customWidth="1"/>
    <col min="3" max="3" width="10.5" style="7" customWidth="1"/>
    <col min="4" max="4" width="15.8516" style="7" customWidth="1"/>
    <col min="5" max="5" width="24" style="7" customWidth="1"/>
    <col min="6" max="6" width="12.6719" style="7" customWidth="1"/>
    <col min="7" max="16384" width="8.85156" style="7" customWidth="1"/>
  </cols>
  <sheetData>
    <row r="1" ht="15.75" customHeight="1">
      <c r="A1" s="8"/>
      <c r="B1" t="s" s="9">
        <v>15</v>
      </c>
      <c r="C1" s="8"/>
      <c r="D1" s="8"/>
      <c r="E1" s="8"/>
      <c r="F1" s="8"/>
    </row>
    <row r="2" ht="15" customHeight="1">
      <c r="A2" s="10"/>
      <c r="B2" t="s" s="11">
        <v>16</v>
      </c>
      <c r="C2" s="10"/>
      <c r="D2" s="10"/>
      <c r="E2" s="10"/>
      <c r="F2" s="10"/>
    </row>
    <row r="3" ht="15" customHeight="1">
      <c r="A3" t="s" s="12">
        <v>17</v>
      </c>
      <c r="B3" s="13"/>
      <c r="C3" t="s" s="12">
        <v>18</v>
      </c>
      <c r="D3" t="s" s="12">
        <v>19</v>
      </c>
      <c r="E3" s="13"/>
      <c r="F3" t="s" s="12">
        <v>20</v>
      </c>
    </row>
    <row r="4" ht="15" customHeight="1">
      <c r="A4" s="13"/>
      <c r="B4" s="13"/>
      <c r="C4" t="s" s="14">
        <v>21</v>
      </c>
      <c r="D4" t="s" s="15">
        <v>19</v>
      </c>
      <c r="E4" t="s" s="15">
        <v>22</v>
      </c>
      <c r="F4" t="s" s="15">
        <v>21</v>
      </c>
    </row>
    <row r="5" ht="15" customHeight="1">
      <c r="A5" s="13"/>
      <c r="B5" s="13"/>
      <c r="C5" s="16"/>
      <c r="D5" s="13"/>
      <c r="E5" s="13"/>
      <c r="F5" s="13"/>
    </row>
    <row r="6" ht="15" customHeight="1">
      <c r="A6" s="17">
        <v>5050</v>
      </c>
      <c r="B6" t="s" s="15">
        <v>23</v>
      </c>
      <c r="C6" s="16">
        <v>0</v>
      </c>
      <c r="D6" s="16">
        <v>0</v>
      </c>
      <c r="E6" s="13"/>
      <c r="F6" s="16">
        <v>0</v>
      </c>
    </row>
    <row r="7" ht="15" customHeight="1">
      <c r="A7" s="17">
        <v>5060</v>
      </c>
      <c r="B7" t="s" s="15">
        <v>24</v>
      </c>
      <c r="C7" s="16">
        <v>1200</v>
      </c>
      <c r="D7" s="16">
        <v>1400</v>
      </c>
      <c r="E7" s="13"/>
      <c r="F7" s="16">
        <v>1400</v>
      </c>
    </row>
    <row r="8" ht="15" customHeight="1">
      <c r="A8" s="17">
        <v>5090</v>
      </c>
      <c r="B8" t="s" s="15">
        <v>25</v>
      </c>
      <c r="C8" s="16">
        <v>29000</v>
      </c>
      <c r="D8" s="16">
        <v>29057</v>
      </c>
      <c r="E8" s="18"/>
      <c r="F8" s="16">
        <v>30000</v>
      </c>
    </row>
    <row r="9" ht="15" customHeight="1">
      <c r="A9" s="17">
        <v>5100</v>
      </c>
      <c r="B9" t="s" s="15">
        <v>26</v>
      </c>
      <c r="C9" s="16">
        <v>8000</v>
      </c>
      <c r="D9" s="16">
        <v>7770</v>
      </c>
      <c r="E9" s="19"/>
      <c r="F9" s="16">
        <v>8000</v>
      </c>
    </row>
    <row r="10" ht="15" customHeight="1">
      <c r="A10" s="17">
        <v>5105</v>
      </c>
      <c r="B10" t="s" s="14">
        <v>27</v>
      </c>
      <c r="C10" s="16">
        <v>5000</v>
      </c>
      <c r="D10" s="16">
        <v>5094</v>
      </c>
      <c r="E10" s="19"/>
      <c r="F10" s="16">
        <v>5000</v>
      </c>
    </row>
    <row r="11" ht="15" customHeight="1">
      <c r="A11" s="17">
        <v>5320</v>
      </c>
      <c r="B11" t="s" s="15">
        <v>28</v>
      </c>
      <c r="C11" s="16">
        <v>0</v>
      </c>
      <c r="D11" s="16">
        <v>0</v>
      </c>
      <c r="E11" s="13"/>
      <c r="F11" s="16">
        <v>0</v>
      </c>
    </row>
    <row r="12" ht="15" customHeight="1">
      <c r="A12" s="17">
        <v>5350</v>
      </c>
      <c r="B12" t="s" s="15">
        <v>29</v>
      </c>
      <c r="C12" s="16">
        <v>16000</v>
      </c>
      <c r="D12" s="16">
        <v>17729</v>
      </c>
      <c r="E12" s="13"/>
      <c r="F12" s="16">
        <v>18000</v>
      </c>
    </row>
    <row r="13" ht="15" customHeight="1">
      <c r="A13" s="17">
        <v>5365</v>
      </c>
      <c r="B13" t="s" s="15">
        <v>30</v>
      </c>
      <c r="C13" s="16"/>
      <c r="D13" s="16"/>
      <c r="E13" s="13"/>
      <c r="F13" s="16"/>
    </row>
    <row r="14" ht="15" customHeight="1">
      <c r="A14" s="17">
        <v>5370</v>
      </c>
      <c r="B14" t="s" s="15">
        <v>31</v>
      </c>
      <c r="C14" s="16"/>
      <c r="D14" s="16"/>
      <c r="E14" s="19"/>
      <c r="F14" s="16"/>
    </row>
    <row r="15" ht="15" customHeight="1">
      <c r="A15" s="17">
        <v>5395</v>
      </c>
      <c r="B15" t="s" s="15">
        <v>32</v>
      </c>
      <c r="C15" s="16">
        <v>0</v>
      </c>
      <c r="D15" s="16">
        <v>0</v>
      </c>
      <c r="E15" s="13"/>
      <c r="F15" s="16">
        <v>0</v>
      </c>
    </row>
    <row r="16" ht="15" customHeight="1">
      <c r="A16" s="17">
        <v>5400</v>
      </c>
      <c r="B16" t="s" s="15">
        <v>33</v>
      </c>
      <c r="C16" s="16"/>
      <c r="D16" s="16"/>
      <c r="E16" s="13"/>
      <c r="F16" s="16"/>
    </row>
    <row r="17" ht="15" customHeight="1">
      <c r="A17" s="17">
        <v>7100</v>
      </c>
      <c r="B17" t="s" s="15">
        <v>34</v>
      </c>
      <c r="C17" s="16"/>
      <c r="D17" s="16"/>
      <c r="E17" s="13"/>
      <c r="F17" s="16"/>
    </row>
    <row r="18" ht="15" customHeight="1">
      <c r="A18" s="17">
        <v>7110</v>
      </c>
      <c r="B18" t="s" s="15">
        <v>35</v>
      </c>
      <c r="C18" s="16">
        <v>10000</v>
      </c>
      <c r="D18" s="16">
        <v>9000</v>
      </c>
      <c r="E18" s="13"/>
      <c r="F18" s="16">
        <v>10000</v>
      </c>
    </row>
    <row r="19" ht="15" customHeight="1">
      <c r="A19" s="17">
        <v>7120</v>
      </c>
      <c r="B19" t="s" s="15">
        <v>36</v>
      </c>
      <c r="C19" s="16"/>
      <c r="D19" s="16"/>
      <c r="E19" s="13"/>
      <c r="F19" s="16"/>
    </row>
    <row r="20" ht="15" customHeight="1">
      <c r="A20" s="17">
        <v>7130</v>
      </c>
      <c r="B20" t="s" s="15">
        <v>37</v>
      </c>
      <c r="C20" s="16"/>
      <c r="D20" s="16"/>
      <c r="E20" s="13"/>
      <c r="F20" s="16"/>
    </row>
    <row r="21" ht="15" customHeight="1">
      <c r="A21" s="17">
        <v>7140</v>
      </c>
      <c r="B21" t="s" s="15">
        <v>38</v>
      </c>
      <c r="C21" s="16"/>
      <c r="D21" s="16"/>
      <c r="E21" s="13"/>
      <c r="F21" s="16"/>
    </row>
    <row r="22" ht="15" customHeight="1">
      <c r="A22" s="17">
        <v>8000</v>
      </c>
      <c r="B22" t="s" s="15">
        <v>39</v>
      </c>
      <c r="C22" s="16"/>
      <c r="D22" s="16"/>
      <c r="E22" s="13"/>
      <c r="F22" s="16"/>
    </row>
    <row r="23" ht="15" customHeight="1">
      <c r="A23" s="17">
        <v>8801</v>
      </c>
      <c r="B23" t="s" s="15">
        <v>40</v>
      </c>
      <c r="C23" s="16">
        <v>0</v>
      </c>
      <c r="D23" s="16">
        <v>0</v>
      </c>
      <c r="E23" s="13"/>
      <c r="F23" s="16">
        <v>0</v>
      </c>
    </row>
    <row r="24" ht="15" customHeight="1">
      <c r="A24" s="17">
        <v>3740</v>
      </c>
      <c r="B24" t="s" s="15">
        <v>41</v>
      </c>
      <c r="C24" s="16"/>
      <c r="D24" s="16">
        <v>-1</v>
      </c>
      <c r="E24" s="13"/>
      <c r="F24" s="16"/>
    </row>
    <row r="25" ht="14.6" customHeight="1">
      <c r="A25" s="20"/>
      <c r="B25" s="20"/>
      <c r="C25" s="20"/>
      <c r="D25" s="20"/>
      <c r="E25" s="20"/>
      <c r="F25" s="20"/>
    </row>
    <row r="26" ht="15" customHeight="1">
      <c r="A26" s="8"/>
      <c r="B26" t="s" s="21">
        <v>42</v>
      </c>
      <c r="C26" s="22" cm="1">
        <f t="array" ref="C26">SUM(C6:C23)</f>
        <v>69200</v>
      </c>
      <c r="D26" s="22" cm="1">
        <f t="array" ref="D26">SUM(D6:D24)+E31</f>
        <v>70049</v>
      </c>
      <c r="E26" s="22"/>
      <c r="F26" s="22" cm="1">
        <f t="array" ref="F26">SUM(F6:F23)</f>
        <v>72400</v>
      </c>
    </row>
    <row r="27" ht="15" customHeight="1">
      <c r="A27" s="8"/>
      <c r="B27" t="s" s="21">
        <v>43</v>
      </c>
      <c r="C27" s="8"/>
      <c r="D27" s="22" cm="1">
        <f t="array" ref="D27">D30-D26</f>
        <v>-14049</v>
      </c>
      <c r="E27" s="22"/>
      <c r="F27" s="22"/>
    </row>
    <row r="28" ht="15" customHeight="1">
      <c r="A28" s="8"/>
      <c r="B28" s="8"/>
      <c r="C28" s="8"/>
      <c r="D28" s="8"/>
      <c r="E28" t="s" s="23">
        <v>44</v>
      </c>
      <c r="F28" s="22" cm="1">
        <f t="array" ref="F28">F26/14</f>
        <v>5171.428571428570</v>
      </c>
    </row>
    <row r="29" ht="15" customHeight="1">
      <c r="A29" s="8"/>
      <c r="B29" t="s" s="21">
        <v>45</v>
      </c>
      <c r="C29" s="24"/>
      <c r="D29" s="25">
        <v>4000</v>
      </c>
      <c r="E29" s="8"/>
      <c r="F29" s="8"/>
    </row>
    <row r="30" ht="15" customHeight="1">
      <c r="A30" s="8"/>
      <c r="B30" s="26"/>
      <c r="C30" s="24"/>
      <c r="D30" s="25" cm="1">
        <f t="array" ref="D30">D29*14+E29+E32</f>
        <v>56000</v>
      </c>
      <c r="E30" s="8"/>
      <c r="F30" s="8"/>
    </row>
    <row r="31" ht="15" customHeight="1">
      <c r="A31" s="8"/>
      <c r="B31" s="26"/>
      <c r="C31" s="24"/>
      <c r="D31" s="8"/>
      <c r="E31" s="8"/>
      <c r="F31" s="8"/>
    </row>
    <row r="32" ht="15" customHeight="1">
      <c r="A32" s="8"/>
      <c r="B32" t="s" s="21">
        <v>46</v>
      </c>
      <c r="C32" s="24">
        <v>12000</v>
      </c>
      <c r="D32" s="8"/>
      <c r="E32" s="8"/>
      <c r="F32" s="8"/>
    </row>
    <row r="33" ht="15" customHeight="1">
      <c r="A33" s="8"/>
      <c r="B33" t="s" s="21">
        <v>47</v>
      </c>
      <c r="C33" s="22">
        <v>64394</v>
      </c>
      <c r="D33" s="8"/>
      <c r="E33" s="8"/>
      <c r="F33" s="8"/>
    </row>
    <row r="34" ht="15" customHeight="1">
      <c r="A34" s="8"/>
      <c r="B34" t="s" s="27">
        <v>48</v>
      </c>
      <c r="C34" s="22">
        <v>38345</v>
      </c>
      <c r="D34" s="8"/>
      <c r="E34" s="8"/>
      <c r="F34" s="8"/>
    </row>
    <row r="35" ht="15" customHeight="1">
      <c r="A35" s="8"/>
      <c r="B35" s="28"/>
      <c r="C35" s="8"/>
      <c r="D35" s="8"/>
      <c r="E35" s="8"/>
      <c r="F35" s="8"/>
    </row>
  </sheetData>
  <pageMargins left="0.75" right="0.75" top="1.3937" bottom="1.3937" header="1" footer="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